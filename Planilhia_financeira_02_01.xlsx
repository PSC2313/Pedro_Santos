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ublica\Tranforma-se 2025\tarde\seg-qua\Pedro_Santos\"/>
    </mc:Choice>
  </mc:AlternateContent>
  <xr:revisionPtr revIDLastSave="0" documentId="8_{0CDB62F0-B747-4AB0-BF00-FF75B5DE4DB4}" xr6:coauthVersionLast="47" xr6:coauthVersionMax="47" xr10:uidLastSave="{00000000-0000-0000-0000-000000000000}"/>
  <bookViews>
    <workbookView xWindow="-120" yWindow="-120" windowWidth="29040" windowHeight="15840" xr2:uid="{0A149543-7041-430C-B71B-3D807F3A47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O22" i="1"/>
  <c r="O23" i="1" s="1"/>
  <c r="N23" i="1"/>
  <c r="J21" i="1"/>
  <c r="J23" i="1" s="1"/>
  <c r="E22" i="1"/>
  <c r="F22" i="1"/>
  <c r="G22" i="1"/>
  <c r="H22" i="1"/>
  <c r="I22" i="1"/>
  <c r="J22" i="1"/>
  <c r="K22" i="1"/>
  <c r="K23" i="1" s="1"/>
  <c r="L22" i="1"/>
  <c r="L23" i="1" s="1"/>
  <c r="M22" i="1"/>
  <c r="N22" i="1"/>
  <c r="D22" i="1"/>
  <c r="E23" i="1"/>
  <c r="F23" i="1"/>
  <c r="G23" i="1"/>
  <c r="H23" i="1"/>
  <c r="I23" i="1"/>
  <c r="M23" i="1"/>
  <c r="G21" i="1"/>
  <c r="H21" i="1"/>
  <c r="I21" i="1"/>
  <c r="K21" i="1"/>
  <c r="L21" i="1"/>
  <c r="M21" i="1"/>
  <c r="N21" i="1"/>
  <c r="O21" i="1"/>
  <c r="F21" i="1"/>
  <c r="E21" i="1"/>
  <c r="D23" i="1" l="1"/>
</calcChain>
</file>

<file path=xl/sharedStrings.xml><?xml version="1.0" encoding="utf-8"?>
<sst xmlns="http://schemas.openxmlformats.org/spreadsheetml/2006/main" count="29" uniqueCount="29">
  <si>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</si>
  <si>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</si>
  <si>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</si>
  <si>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</si>
  <si>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</si>
  <si>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</si>
  <si>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</si>
  <si>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</si>
  <si>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</si>
  <si>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</si>
  <si>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</si>
  <si>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</si>
  <si>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Salário</t>
  </si>
  <si>
    <t>Caju</t>
  </si>
  <si>
    <t>Bícos</t>
  </si>
  <si>
    <t>Saidas:</t>
  </si>
  <si>
    <t>Entradas:</t>
  </si>
  <si>
    <t>Alimentação</t>
  </si>
  <si>
    <t>Transporte</t>
  </si>
  <si>
    <t>Contas</t>
  </si>
  <si>
    <t>Spotfy</t>
  </si>
  <si>
    <t>mercado</t>
  </si>
  <si>
    <t>VA</t>
  </si>
  <si>
    <t>Total Entradas:</t>
  </si>
  <si>
    <t>Total Saidas:</t>
  </si>
  <si>
    <t>Luz</t>
  </si>
  <si>
    <t>Água</t>
  </si>
  <si>
    <t>Telefone</t>
  </si>
  <si>
    <t>Saldo: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</si>
</sst>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4" fillId="0" borderId="1" xfId="0" applyFont="1" applyBorder="1" applyAlignment="1">
      <alignment horizontal="center" vertical="center"/>
    </xf>
    <xf numFmtId="0" fontId="0" fillId="4" borderId="0" xfId="0" applyFill="1"/>
    <xf numFmtId="164" fontId="0" fillId="4" borderId="1" xfId="1" applyNumberFormat="1" applyFont="1" applyFill="1" applyBorder="1"/>
    <xf numFmtId="164" fontId="0" fillId="4" borderId="1" xfId="0" applyNumberFormat="1" applyFill="1" applyBorder="1"/>
    <xf numFmtId="0" fontId="3" fillId="4" borderId="0" xfId="0" applyFont="1" applyFill="1"/>
    <xf numFmtId="164" fontId="0" fillId="4" borderId="0" xfId="0" applyNumberFormat="1" applyFill="1"/>
    <xf numFmtId="0" fontId="0" fillId="5" borderId="0" xfId="0" applyFill="1"/>
    <xf numFmtId="164" fontId="0" fillId="5" borderId="1" xfId="1" applyNumberFormat="1" applyFont="1" applyFill="1" applyBorder="1"/>
    <xf numFmtId="164" fontId="0" fillId="5" borderId="1" xfId="0" applyNumberFormat="1" applyFill="1" applyBorder="1"/>
    <xf numFmtId="0" fontId="3" fillId="5" borderId="0" xfId="0" applyFont="1" applyFill="1"/>
    <xf numFmtId="164" fontId="0" fillId="5" borderId="0" xfId="0" applyNumberFormat="1" applyFill="1"/>
    <xf numFmtId="164" fontId="0" fillId="4" borderId="0" xfId="0" applyNumberFormat="1" applyFill="1" applyProtection="1"/>
    <xf numFmtId="0" fontId="0" fillId="0" borderId="0" xfId="0" applyProtection="1"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8D3A-5505-4C38-8BEE-D647327BEFA8}">
  <dimension ref="B3:P32"/>
  <sheetViews>
    <sheetView tabSelected="1" zoomScale="85" zoomScaleNormal="85" workbookViewId="0">
      <selection activeCell="N1" sqref="N1"/>
    </sheetView>
  </sheetViews>
  <sheetFormatPr defaultRowHeight="15" x14ac:dyDescent="0.25"/>
  <cols>
    <col min="1" max="1" width="14.85546875" bestFit="1" customWidth="1"/>
    <col min="2" max="2" width="2.7109375" customWidth="1"/>
    <col min="3" max="3" width="15.5703125" bestFit="1" customWidth="1"/>
    <col min="4" max="15" width="10.7109375" bestFit="1" customWidth="1"/>
    <col min="16" max="16" width="2.7109375" customWidth="1"/>
  </cols>
  <sheetData>
    <row r="3" spans="2:16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18.75" x14ac:dyDescent="0.25">
      <c r="B4" s="3"/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3"/>
    </row>
    <row r="5" spans="2:16" ht="15.75" x14ac:dyDescent="0.25">
      <c r="B5" s="3"/>
      <c r="C5" s="1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spans="2:16" x14ac:dyDescent="0.25">
      <c r="B6" s="3"/>
      <c r="C6" s="5" t="s">
        <v>12</v>
      </c>
      <c r="D6" s="6">
        <v>800</v>
      </c>
      <c r="E6" s="6">
        <v>800</v>
      </c>
      <c r="F6" s="6">
        <v>800</v>
      </c>
      <c r="G6" s="6">
        <v>1700</v>
      </c>
      <c r="H6" s="6">
        <v>1700</v>
      </c>
      <c r="I6" s="6">
        <v>1700</v>
      </c>
      <c r="J6" s="6">
        <v>1700</v>
      </c>
      <c r="K6" s="6">
        <v>1700</v>
      </c>
      <c r="L6" s="6">
        <v>1700</v>
      </c>
      <c r="M6" s="6">
        <v>1700</v>
      </c>
      <c r="N6" s="6">
        <v>1700</v>
      </c>
      <c r="O6" s="6">
        <v>1700</v>
      </c>
      <c r="P6" s="3"/>
    </row>
    <row r="7" spans="2:16" x14ac:dyDescent="0.25">
      <c r="B7" s="3"/>
      <c r="C7" s="10" t="s">
        <v>22</v>
      </c>
      <c r="D7" s="11">
        <v>1000</v>
      </c>
      <c r="E7" s="11">
        <v>1000</v>
      </c>
      <c r="F7" s="11">
        <v>1000</v>
      </c>
      <c r="G7" s="11">
        <v>450</v>
      </c>
      <c r="H7" s="11">
        <v>450</v>
      </c>
      <c r="I7" s="11">
        <v>450</v>
      </c>
      <c r="J7" s="11">
        <v>450</v>
      </c>
      <c r="K7" s="11">
        <v>450</v>
      </c>
      <c r="L7" s="11">
        <v>450</v>
      </c>
      <c r="M7" s="11">
        <v>450</v>
      </c>
      <c r="N7" s="11">
        <v>450</v>
      </c>
      <c r="O7" s="11">
        <v>450</v>
      </c>
      <c r="P7" s="3"/>
    </row>
    <row r="8" spans="2:16" x14ac:dyDescent="0.25">
      <c r="B8" s="3"/>
      <c r="C8" s="5" t="s">
        <v>13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200</v>
      </c>
      <c r="N8" s="6">
        <v>200</v>
      </c>
      <c r="O8" s="6">
        <v>200</v>
      </c>
      <c r="P8" s="3"/>
    </row>
    <row r="9" spans="2:16" x14ac:dyDescent="0.25">
      <c r="B9" s="3"/>
      <c r="C9" s="10" t="s">
        <v>14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3"/>
    </row>
    <row r="10" spans="2:16" x14ac:dyDescent="0.25">
      <c r="B10" s="3"/>
      <c r="P10" s="3"/>
    </row>
    <row r="11" spans="2:16" ht="15.75" x14ac:dyDescent="0.25">
      <c r="B11" s="3"/>
      <c r="C11" s="1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</row>
    <row r="12" spans="2:16" x14ac:dyDescent="0.25">
      <c r="B12" s="3"/>
      <c r="C12" s="5" t="s">
        <v>17</v>
      </c>
      <c r="D12" s="7">
        <v>0</v>
      </c>
      <c r="E12" s="7">
        <v>0</v>
      </c>
      <c r="F12" s="7">
        <v>0</v>
      </c>
      <c r="G12" s="7">
        <v>100</v>
      </c>
      <c r="H12" s="7">
        <v>100</v>
      </c>
      <c r="I12" s="7">
        <v>100</v>
      </c>
      <c r="J12" s="7">
        <v>100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3"/>
    </row>
    <row r="13" spans="2:16" x14ac:dyDescent="0.25">
      <c r="B13" s="3"/>
      <c r="C13" s="10" t="s">
        <v>25</v>
      </c>
      <c r="D13" s="12">
        <v>100</v>
      </c>
      <c r="E13" s="12">
        <v>100</v>
      </c>
      <c r="F13" s="12">
        <v>100</v>
      </c>
      <c r="G13" s="12">
        <v>150</v>
      </c>
      <c r="H13" s="12">
        <v>150</v>
      </c>
      <c r="I13" s="12">
        <v>150</v>
      </c>
      <c r="J13" s="12">
        <v>150</v>
      </c>
      <c r="K13" s="12">
        <v>150</v>
      </c>
      <c r="L13" s="12">
        <v>150</v>
      </c>
      <c r="M13" s="12">
        <v>150</v>
      </c>
      <c r="N13" s="12">
        <v>150</v>
      </c>
      <c r="O13" s="12">
        <v>150</v>
      </c>
      <c r="P13" s="3"/>
    </row>
    <row r="14" spans="2:16" x14ac:dyDescent="0.25">
      <c r="B14" s="3"/>
      <c r="C14" s="5" t="s">
        <v>26</v>
      </c>
      <c r="D14" s="7">
        <v>50</v>
      </c>
      <c r="E14" s="7">
        <v>50</v>
      </c>
      <c r="F14" s="7">
        <v>50</v>
      </c>
      <c r="G14" s="7">
        <v>50</v>
      </c>
      <c r="H14" s="7">
        <v>50</v>
      </c>
      <c r="I14" s="7">
        <v>50</v>
      </c>
      <c r="J14" s="7">
        <v>50</v>
      </c>
      <c r="K14" s="7">
        <v>50</v>
      </c>
      <c r="L14" s="7">
        <v>50</v>
      </c>
      <c r="M14" s="7">
        <v>50</v>
      </c>
      <c r="N14" s="7">
        <v>50</v>
      </c>
      <c r="O14" s="7">
        <v>50</v>
      </c>
      <c r="P14" s="3"/>
    </row>
    <row r="15" spans="2:16" x14ac:dyDescent="0.25">
      <c r="B15" s="3"/>
      <c r="C15" s="10" t="s">
        <v>18</v>
      </c>
      <c r="D15" s="12">
        <v>20</v>
      </c>
      <c r="E15" s="12">
        <v>20</v>
      </c>
      <c r="F15" s="12">
        <v>20</v>
      </c>
      <c r="G15" s="12">
        <v>20</v>
      </c>
      <c r="H15" s="12">
        <v>20</v>
      </c>
      <c r="I15" s="12">
        <v>20</v>
      </c>
      <c r="J15" s="12">
        <v>20</v>
      </c>
      <c r="K15" s="12">
        <v>20</v>
      </c>
      <c r="L15" s="12">
        <v>150</v>
      </c>
      <c r="M15" s="12">
        <v>150</v>
      </c>
      <c r="N15" s="12">
        <v>150</v>
      </c>
      <c r="O15" s="12">
        <v>150</v>
      </c>
      <c r="P15" s="3"/>
    </row>
    <row r="16" spans="2:16" x14ac:dyDescent="0.25">
      <c r="B16" s="3"/>
      <c r="C16" s="5" t="s">
        <v>20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23.9</v>
      </c>
      <c r="K16" s="7">
        <v>23.9</v>
      </c>
      <c r="L16" s="7">
        <v>23.9</v>
      </c>
      <c r="M16" s="7">
        <v>23.9</v>
      </c>
      <c r="N16" s="7">
        <v>23.9</v>
      </c>
      <c r="O16" s="7">
        <v>23.9</v>
      </c>
      <c r="P16" s="3"/>
    </row>
    <row r="17" spans="2:16" x14ac:dyDescent="0.25">
      <c r="B17" s="3"/>
      <c r="C17" s="10" t="s">
        <v>19</v>
      </c>
      <c r="D17" s="12">
        <v>480</v>
      </c>
      <c r="E17" s="12">
        <v>480</v>
      </c>
      <c r="F17" s="12">
        <v>480</v>
      </c>
      <c r="G17" s="12">
        <v>480</v>
      </c>
      <c r="H17" s="12">
        <v>1000</v>
      </c>
      <c r="I17" s="12">
        <v>1000</v>
      </c>
      <c r="J17" s="12">
        <v>1000</v>
      </c>
      <c r="K17" s="12">
        <v>1000</v>
      </c>
      <c r="L17" s="12">
        <v>1000</v>
      </c>
      <c r="M17" s="12">
        <v>1000</v>
      </c>
      <c r="N17" s="12">
        <v>1000</v>
      </c>
      <c r="O17" s="12">
        <v>1000</v>
      </c>
      <c r="P17" s="3"/>
    </row>
    <row r="18" spans="2:16" x14ac:dyDescent="0.25">
      <c r="B18" s="3"/>
      <c r="C18" s="5" t="s">
        <v>27</v>
      </c>
      <c r="D18" s="7">
        <v>65</v>
      </c>
      <c r="E18" s="7">
        <v>65</v>
      </c>
      <c r="F18" s="7">
        <v>65</v>
      </c>
      <c r="G18" s="7">
        <v>65</v>
      </c>
      <c r="H18" s="7">
        <v>65</v>
      </c>
      <c r="I18" s="7">
        <v>65</v>
      </c>
      <c r="J18" s="7">
        <v>65</v>
      </c>
      <c r="K18" s="7">
        <v>65</v>
      </c>
      <c r="L18" s="7">
        <v>65</v>
      </c>
      <c r="M18" s="7">
        <v>65</v>
      </c>
      <c r="N18" s="7">
        <v>65</v>
      </c>
      <c r="O18" s="7">
        <v>65</v>
      </c>
      <c r="P18" s="3"/>
    </row>
    <row r="19" spans="2:16" x14ac:dyDescent="0.25">
      <c r="B19" s="3"/>
      <c r="C19" s="10" t="s">
        <v>21</v>
      </c>
      <c r="D19" s="12">
        <v>1000</v>
      </c>
      <c r="E19" s="12">
        <v>1000</v>
      </c>
      <c r="F19" s="12">
        <v>1000</v>
      </c>
      <c r="G19" s="12">
        <v>450</v>
      </c>
      <c r="H19" s="12">
        <v>450</v>
      </c>
      <c r="I19" s="12">
        <v>450</v>
      </c>
      <c r="J19" s="12">
        <v>450</v>
      </c>
      <c r="K19" s="12">
        <v>450</v>
      </c>
      <c r="L19" s="12">
        <v>450</v>
      </c>
      <c r="M19" s="12">
        <v>450</v>
      </c>
      <c r="N19" s="12">
        <v>450</v>
      </c>
      <c r="O19" s="12">
        <v>450</v>
      </c>
      <c r="P19" s="3"/>
    </row>
    <row r="20" spans="2:16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ht="15.75" x14ac:dyDescent="0.25">
      <c r="B21" s="3"/>
      <c r="C21" s="8" t="s">
        <v>23</v>
      </c>
      <c r="D21" s="9">
        <f>SUM(D6:D9)</f>
        <v>1800</v>
      </c>
      <c r="E21" s="9">
        <f>SUM(E6:E9)</f>
        <v>1800</v>
      </c>
      <c r="F21" s="9">
        <f>SUM(F6:F9)</f>
        <v>1800</v>
      </c>
      <c r="G21" s="9">
        <f t="shared" ref="G21:O21" si="0">SUM(G6:G9)</f>
        <v>2150</v>
      </c>
      <c r="H21" s="9">
        <f t="shared" si="0"/>
        <v>2150</v>
      </c>
      <c r="I21" s="9">
        <f t="shared" si="0"/>
        <v>2150</v>
      </c>
      <c r="J21" s="9">
        <f>SUM(J6:J9)</f>
        <v>2150</v>
      </c>
      <c r="K21" s="9">
        <f t="shared" si="0"/>
        <v>2150</v>
      </c>
      <c r="L21" s="9">
        <f t="shared" si="0"/>
        <v>2150</v>
      </c>
      <c r="M21" s="9">
        <f t="shared" si="0"/>
        <v>2350</v>
      </c>
      <c r="N21" s="9">
        <f t="shared" si="0"/>
        <v>2350</v>
      </c>
      <c r="O21" s="9">
        <f t="shared" si="0"/>
        <v>2350</v>
      </c>
      <c r="P21" s="3"/>
    </row>
    <row r="22" spans="2:16" ht="15.75" x14ac:dyDescent="0.25">
      <c r="B22" s="3"/>
      <c r="C22" s="13" t="s">
        <v>24</v>
      </c>
      <c r="D22" s="14">
        <f>SUM(D12:D19)</f>
        <v>1715</v>
      </c>
      <c r="E22" s="14">
        <f t="shared" ref="E22:N22" si="1">SUM(E12:E19)</f>
        <v>1715</v>
      </c>
      <c r="F22" s="14">
        <f t="shared" si="1"/>
        <v>1715</v>
      </c>
      <c r="G22" s="14">
        <f t="shared" si="1"/>
        <v>1315</v>
      </c>
      <c r="H22" s="14">
        <f t="shared" si="1"/>
        <v>1835</v>
      </c>
      <c r="I22" s="14">
        <f t="shared" si="1"/>
        <v>1835</v>
      </c>
      <c r="J22" s="14">
        <f t="shared" si="1"/>
        <v>1858.9</v>
      </c>
      <c r="K22" s="14">
        <f t="shared" si="1"/>
        <v>1858.9</v>
      </c>
      <c r="L22" s="14">
        <f t="shared" si="1"/>
        <v>1988.9</v>
      </c>
      <c r="M22" s="14">
        <f t="shared" si="1"/>
        <v>1988.9</v>
      </c>
      <c r="N22" s="14">
        <f t="shared" si="1"/>
        <v>1988.9</v>
      </c>
      <c r="O22" s="14">
        <f>SUM(O12:O19)</f>
        <v>1988.9</v>
      </c>
      <c r="P22" s="3"/>
    </row>
    <row r="23" spans="2:16" ht="15.75" x14ac:dyDescent="0.25">
      <c r="B23" s="3"/>
      <c r="C23" s="8" t="s">
        <v>28</v>
      </c>
      <c r="D23" s="15">
        <f>D21-D22</f>
        <v>85</v>
      </c>
      <c r="E23" s="15">
        <f t="shared" ref="E23:N23" si="2">E21-E22</f>
        <v>85</v>
      </c>
      <c r="F23" s="15">
        <f t="shared" si="2"/>
        <v>85</v>
      </c>
      <c r="G23" s="15">
        <f t="shared" si="2"/>
        <v>835</v>
      </c>
      <c r="H23" s="15">
        <f t="shared" si="2"/>
        <v>315</v>
      </c>
      <c r="I23" s="15">
        <f t="shared" si="2"/>
        <v>315</v>
      </c>
      <c r="J23" s="15">
        <f t="shared" si="2"/>
        <v>291.09999999999991</v>
      </c>
      <c r="K23" s="15">
        <f t="shared" si="2"/>
        <v>291.09999999999991</v>
      </c>
      <c r="L23" s="15">
        <f t="shared" si="2"/>
        <v>161.09999999999991</v>
      </c>
      <c r="M23" s="15">
        <f t="shared" si="2"/>
        <v>361.09999999999991</v>
      </c>
      <c r="N23" s="15">
        <f>N21-N22</f>
        <v>361.09999999999991</v>
      </c>
      <c r="O23" s="15">
        <f>O21-O22</f>
        <v>361.09999999999991</v>
      </c>
      <c r="P23" s="3"/>
    </row>
    <row r="24" spans="2:16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32" spans="2:16" x14ac:dyDescent="0.25">
      <c r="J32" s="16"/>
    </row>
  </sheetData>
  <sheetProtection selectLockedCells="1" selectUnlockedCells="1"/>
  <phoneticPr fontId="2" type="noConversion"/>
  <conditionalFormatting sqref="D23">
    <cfRule type="colorScale" priority="9">
      <colorScale>
        <cfvo type="num" val="0"/>
        <cfvo type="max"/>
        <color rgb="FFC00000"/>
        <color rgb="FF00B050"/>
      </colorScale>
    </cfRule>
  </conditionalFormatting>
  <conditionalFormatting sqref="E23">
    <cfRule type="colorScale" priority="8">
      <colorScale>
        <cfvo type="num" val="0"/>
        <cfvo type="num" val="1"/>
        <color rgb="FFC00000"/>
        <color rgb="FF00B050"/>
      </colorScale>
    </cfRule>
  </conditionalFormatting>
  <conditionalFormatting sqref="F23">
    <cfRule type="colorScale" priority="7">
      <colorScale>
        <cfvo type="min"/>
        <cfvo type="max"/>
        <color rgb="FFFF7128"/>
        <color rgb="FFFFEF9C"/>
      </colorScale>
    </cfRule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G23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H23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I23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J23:O23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D23:O23">
    <cfRule type="colorScale" priority="1">
      <colorScale>
        <cfvo type="num" val="0"/>
        <cfvo type="num" val="1"/>
        <color rgb="FFFF0000"/>
        <color rgb="FF00B05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SANTOS CINTRA</dc:creator>
  <cp:lastModifiedBy>PEDRO SANTOS CINTRA</cp:lastModifiedBy>
  <dcterms:created xsi:type="dcterms:W3CDTF">2025-10-27T19:03:01Z</dcterms:created>
  <dcterms:modified xsi:type="dcterms:W3CDTF">2025-10-29T16:53:18Z</dcterms:modified>
</cp:coreProperties>
</file>