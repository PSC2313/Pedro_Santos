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T:\Publica\Tranforma-se 2025\tarde\seg-qua\Pedro_Santos\"/>
    </mc:Choice>
  </mc:AlternateContent>
  <xr:revisionPtr revIDLastSave="0" documentId="8_{5FC7511E-8957-4FA6-AD81-BF48EA693D56}" xr6:coauthVersionLast="47" xr6:coauthVersionMax="47" xr10:uidLastSave="{00000000-0000-0000-0000-000000000000}"/>
  <bookViews>
    <workbookView xWindow="-120" yWindow="-120" windowWidth="29040" windowHeight="15840" xr2:uid="{0A149543-7041-430C-B71B-3D807F3A474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5" i="1" l="1"/>
  <c r="E25" i="1"/>
  <c r="F25" i="1"/>
  <c r="G25" i="1"/>
  <c r="H25" i="1"/>
  <c r="I25" i="1"/>
  <c r="J25" i="1"/>
  <c r="K25" i="1"/>
  <c r="L25" i="1"/>
  <c r="M25" i="1"/>
  <c r="N25" i="1"/>
  <c r="E24" i="1"/>
  <c r="M24" i="1"/>
  <c r="D21" i="1"/>
  <c r="O22" i="1"/>
  <c r="J21" i="1"/>
  <c r="E22" i="1"/>
  <c r="F22" i="1"/>
  <c r="G22" i="1"/>
  <c r="H22" i="1"/>
  <c r="I22" i="1"/>
  <c r="J22" i="1"/>
  <c r="K22" i="1"/>
  <c r="L22" i="1"/>
  <c r="M22" i="1"/>
  <c r="N22" i="1"/>
  <c r="D22" i="1"/>
  <c r="D25" i="1" s="1"/>
  <c r="G21" i="1"/>
  <c r="G23" i="1" s="1"/>
  <c r="G24" i="1" s="1"/>
  <c r="H21" i="1"/>
  <c r="I21" i="1"/>
  <c r="K21" i="1"/>
  <c r="L21" i="1"/>
  <c r="M21" i="1"/>
  <c r="M23" i="1" s="1"/>
  <c r="N21" i="1"/>
  <c r="N23" i="1" s="1"/>
  <c r="N24" i="1" s="1"/>
  <c r="O21" i="1"/>
  <c r="F21" i="1"/>
  <c r="E21" i="1"/>
  <c r="E23" i="1" s="1"/>
  <c r="F23" i="1" l="1"/>
  <c r="F24" i="1" s="1"/>
  <c r="D23" i="1"/>
  <c r="D24" i="1" s="1"/>
  <c r="I23" i="1"/>
  <c r="I24" i="1" s="1"/>
  <c r="H23" i="1"/>
  <c r="H24" i="1" s="1"/>
  <c r="J23" i="1"/>
  <c r="J24" i="1" s="1"/>
  <c r="K23" i="1"/>
  <c r="K24" i="1" s="1"/>
  <c r="O23" i="1"/>
  <c r="O24" i="1" s="1"/>
  <c r="L23" i="1"/>
  <c r="L24" i="1" s="1"/>
</calcChain>
</file>

<file path=xl/sharedStrings.xml><?xml version="1.0" encoding="utf-8"?>
<sst xmlns="http://schemas.openxmlformats.org/spreadsheetml/2006/main" count="31" uniqueCount="31">
  <si>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</si>
  <si>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</si>
  <si>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</si>
  <si>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</si>
  <si>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</si>
  <si>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</si>
  <si>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</si>
  <si>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</si>
  <si>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</si>
  <si>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</si>
  <si>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</si>
  <si>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</si>
  <si>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Salário</t>
  </si>
  <si>
    <t>Caju</t>
  </si>
  <si>
    <t>Bícos</t>
  </si>
  <si>
    <t>Saidas:</t>
  </si>
  <si>
    <t>Entradas:</t>
  </si>
  <si>
    <t>Alimentação</t>
  </si>
  <si>
    <t>Transporte</t>
  </si>
  <si>
    <t>Contas</t>
  </si>
  <si>
    <t>Spotfy</t>
  </si>
  <si>
    <t>mercado</t>
  </si>
  <si>
    <t>VA</t>
  </si>
  <si>
    <t>Total Entradas:</t>
  </si>
  <si>
    <t>Total Saidas:</t>
  </si>
  <si>
    <t>Luz</t>
  </si>
  <si>
    <t>Água</t>
  </si>
  <si>
    <t>Telefone</t>
  </si>
  <si>
    <t>Saldo:</t>
  </si>
  <si>
    <t>Alertas:</t>
  </si>
  <si>
    <t>Lucro: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</si>
</sst>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3" fillId="2" borderId="0" xfId="0" applyFont="1" applyFill="1"/>
    <xf numFmtId="0" fontId="0" fillId="2" borderId="0" xfId="0" applyFill="1"/>
    <xf numFmtId="0" fontId="0" fillId="3" borderId="0" xfId="0" applyFill="1"/>
    <xf numFmtId="0" fontId="4" fillId="0" borderId="1" xfId="0" applyFont="1" applyBorder="1" applyAlignment="1">
      <alignment horizontal="center" vertical="center"/>
    </xf>
    <xf numFmtId="164" fontId="0" fillId="4" borderId="1" xfId="1" applyNumberFormat="1" applyFont="1" applyFill="1" applyBorder="1"/>
    <xf numFmtId="164" fontId="0" fillId="4" borderId="1" xfId="0" applyNumberFormat="1" applyFill="1" applyBorder="1"/>
    <xf numFmtId="164" fontId="0" fillId="5" borderId="1" xfId="1" applyNumberFormat="1" applyFont="1" applyFill="1" applyBorder="1"/>
    <xf numFmtId="164" fontId="0" fillId="5" borderId="1" xfId="0" applyNumberFormat="1" applyFill="1" applyBorder="1"/>
    <xf numFmtId="0" fontId="0" fillId="0" borderId="0" xfId="0" applyProtection="1">
      <protection locked="0"/>
    </xf>
    <xf numFmtId="0" fontId="5" fillId="0" borderId="0" xfId="0" applyFont="1"/>
    <xf numFmtId="0" fontId="0" fillId="4" borderId="0" xfId="0" applyFill="1" applyAlignment="1">
      <alignment horizontal="left"/>
    </xf>
    <xf numFmtId="0" fontId="0" fillId="5" borderId="0" xfId="0" applyFill="1" applyAlignment="1">
      <alignment horizontal="left"/>
    </xf>
    <xf numFmtId="0" fontId="3" fillId="4" borderId="0" xfId="0" applyFont="1" applyFill="1" applyAlignment="1">
      <alignment horizontal="left"/>
    </xf>
    <xf numFmtId="0" fontId="3" fillId="5" borderId="0" xfId="0" applyFont="1" applyFill="1" applyAlignment="1">
      <alignment horizontal="left"/>
    </xf>
    <xf numFmtId="0" fontId="4" fillId="0" borderId="2" xfId="0" applyFont="1" applyBorder="1" applyAlignment="1">
      <alignment horizontal="center" vertical="center"/>
    </xf>
    <xf numFmtId="164" fontId="0" fillId="4" borderId="2" xfId="1" applyNumberFormat="1" applyFont="1" applyFill="1" applyBorder="1"/>
    <xf numFmtId="164" fontId="0" fillId="5" borderId="2" xfId="1" applyNumberFormat="1" applyFont="1" applyFill="1" applyBorder="1"/>
    <xf numFmtId="164" fontId="0" fillId="4" borderId="2" xfId="0" applyNumberFormat="1" applyFill="1" applyBorder="1"/>
    <xf numFmtId="164" fontId="0" fillId="5" borderId="2" xfId="0" applyNumberFormat="1" applyFill="1" applyBorder="1"/>
    <xf numFmtId="0" fontId="4" fillId="0" borderId="3" xfId="0" applyFont="1" applyBorder="1" applyAlignment="1">
      <alignment horizontal="center" vertical="center"/>
    </xf>
    <xf numFmtId="164" fontId="0" fillId="4" borderId="3" xfId="1" applyNumberFormat="1" applyFont="1" applyFill="1" applyBorder="1"/>
    <xf numFmtId="164" fontId="0" fillId="5" borderId="3" xfId="1" applyNumberFormat="1" applyFont="1" applyFill="1" applyBorder="1"/>
    <xf numFmtId="164" fontId="0" fillId="4" borderId="3" xfId="0" applyNumberFormat="1" applyFill="1" applyBorder="1"/>
    <xf numFmtId="164" fontId="0" fillId="5" borderId="3" xfId="0" applyNumberFormat="1" applyFill="1" applyBorder="1"/>
    <xf numFmtId="164" fontId="0" fillId="6" borderId="1" xfId="0" applyNumberFormat="1" applyFill="1" applyBorder="1"/>
    <xf numFmtId="164" fontId="0" fillId="7" borderId="1" xfId="0" applyNumberFormat="1" applyFill="1" applyBorder="1"/>
    <xf numFmtId="0" fontId="0" fillId="4" borderId="1" xfId="0" applyFill="1" applyBorder="1"/>
  </cellXfs>
  <cellStyles count="2">
    <cellStyle name="Moeda" xfId="1" builtinId="4"/>
    <cellStyle name="Normal" xfId="0" builtinId="0"/>
  </cellStyles>
  <dxfs count="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FF85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pt-BR"/>
              <a:t>Entradas e Saidas Vs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Entrada</c:v>
          </c:tx>
          <c:spPr>
            <a:ln w="381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strRef>
              <c:f>Planilha1!$D$4:$O$4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Planilha1!$D$21:$O$21</c:f>
              <c:numCache>
                <c:formatCode>"R$"\ #,##0.00</c:formatCode>
                <c:ptCount val="12"/>
                <c:pt idx="0">
                  <c:v>1800</c:v>
                </c:pt>
                <c:pt idx="1">
                  <c:v>1800</c:v>
                </c:pt>
                <c:pt idx="2">
                  <c:v>1800</c:v>
                </c:pt>
                <c:pt idx="3">
                  <c:v>2150</c:v>
                </c:pt>
                <c:pt idx="4">
                  <c:v>2150</c:v>
                </c:pt>
                <c:pt idx="5">
                  <c:v>2150</c:v>
                </c:pt>
                <c:pt idx="6">
                  <c:v>2150</c:v>
                </c:pt>
                <c:pt idx="7">
                  <c:v>2150</c:v>
                </c:pt>
                <c:pt idx="8">
                  <c:v>2150</c:v>
                </c:pt>
                <c:pt idx="9">
                  <c:v>2350</c:v>
                </c:pt>
                <c:pt idx="10">
                  <c:v>2350</c:v>
                </c:pt>
                <c:pt idx="11">
                  <c:v>2350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EF-410F-8792-E7B2C4ED2787}"/>
            </c:ext>
          </c:extLst>
        </c:ser>
        <c:ser>
          <c:idx val="1"/>
          <c:order val="1"/>
          <c:tx>
            <c:v>Saidas</c:v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Planilha1!$D$4:$O$4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Planilha1!$D$22:$O$22</c:f>
              <c:numCache>
                <c:formatCode>"R$"\ #,##0.00</c:formatCode>
                <c:ptCount val="12"/>
                <c:pt idx="0">
                  <c:v>1715</c:v>
                </c:pt>
                <c:pt idx="1">
                  <c:v>1715</c:v>
                </c:pt>
                <c:pt idx="2">
                  <c:v>1715</c:v>
                </c:pt>
                <c:pt idx="3">
                  <c:v>1315</c:v>
                </c:pt>
                <c:pt idx="4">
                  <c:v>1835</c:v>
                </c:pt>
                <c:pt idx="5">
                  <c:v>1835</c:v>
                </c:pt>
                <c:pt idx="6">
                  <c:v>1858.9</c:v>
                </c:pt>
                <c:pt idx="7">
                  <c:v>1858.9</c:v>
                </c:pt>
                <c:pt idx="8">
                  <c:v>1988.9</c:v>
                </c:pt>
                <c:pt idx="9">
                  <c:v>1988.9</c:v>
                </c:pt>
                <c:pt idx="10">
                  <c:v>1988.9</c:v>
                </c:pt>
                <c:pt idx="11">
                  <c:v>1988.9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EF-410F-8792-E7B2C4ED27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8582208"/>
        <c:axId val="898592288"/>
      </c:lineChart>
      <c:catAx>
        <c:axId val="898582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8592288"/>
        <c:crosses val="autoZero"/>
        <c:auto val="1"/>
        <c:lblAlgn val="ctr"/>
        <c:lblOffset val="100"/>
        <c:noMultiLvlLbl val="0"/>
      </c:catAx>
      <c:valAx>
        <c:axId val="898592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8582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pt-BR"/>
              <a:t>Saldo Mensal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val>
            <c:numRef>
              <c:f>Planilha1!$D$23:$O$23</c:f>
              <c:numCache>
                <c:formatCode>"R$"\ #,##0.00</c:formatCode>
                <c:ptCount val="12"/>
                <c:pt idx="0">
                  <c:v>85</c:v>
                </c:pt>
                <c:pt idx="1">
                  <c:v>85</c:v>
                </c:pt>
                <c:pt idx="2">
                  <c:v>85</c:v>
                </c:pt>
                <c:pt idx="3">
                  <c:v>835</c:v>
                </c:pt>
                <c:pt idx="4">
                  <c:v>315</c:v>
                </c:pt>
                <c:pt idx="5">
                  <c:v>315</c:v>
                </c:pt>
                <c:pt idx="6">
                  <c:v>291.09999999999991</c:v>
                </c:pt>
                <c:pt idx="7">
                  <c:v>291.09999999999991</c:v>
                </c:pt>
                <c:pt idx="8">
                  <c:v>161.09999999999991</c:v>
                </c:pt>
                <c:pt idx="9">
                  <c:v>361.09999999999991</c:v>
                </c:pt>
                <c:pt idx="10">
                  <c:v>361.09999999999991</c:v>
                </c:pt>
                <c:pt idx="11">
                  <c:v>361.09999999999991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ED-43E9-BA68-1616032A5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axId val="898578848"/>
        <c:axId val="898576448"/>
      </c:barChart>
      <c:catAx>
        <c:axId val="8985788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8576448"/>
        <c:crosses val="autoZero"/>
        <c:auto val="1"/>
        <c:lblAlgn val="ctr"/>
        <c:lblOffset val="100"/>
        <c:noMultiLvlLbl val="0"/>
      </c:catAx>
      <c:valAx>
        <c:axId val="898576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8578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1042145</xdr:colOff>
      <xdr:row>28</xdr:row>
      <xdr:rowOff>1119</xdr:rowOff>
    </xdr:from>
    <xdr:to>
      <xdr:col>9</xdr:col>
      <xdr:colOff>268939</xdr:colOff>
      <xdr:row>42</xdr:row>
      <xdr:rowOff>77319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FB3852B1-EA46-7921-6159-48C38D5169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2529</xdr:colOff>
      <xdr:row>28</xdr:row>
      <xdr:rowOff>5757</xdr:rowOff>
    </xdr:from>
    <xdr:to>
      <xdr:col>17</xdr:col>
      <xdr:colOff>204235</xdr:colOff>
      <xdr:row>42</xdr:row>
      <xdr:rowOff>81957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B8AC8C95-05BC-79FD-7760-03F40F5E05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58D3A-5505-4C38-8BEE-D647327BEFA8}">
  <dimension ref="B3:P35"/>
  <sheetViews>
    <sheetView tabSelected="1" zoomScale="85" zoomScaleNormal="85" workbookViewId="0">
      <selection activeCell="T12" sqref="T12"/>
    </sheetView>
  </sheetViews>
  <sheetFormatPr defaultRowHeight="15" x14ac:dyDescent="0.25"/>
  <cols>
    <col min="1" max="1" width="14.85546875" bestFit="1" customWidth="1"/>
    <col min="2" max="2" width="2.7109375" customWidth="1"/>
    <col min="3" max="3" width="15.5703125" bestFit="1" customWidth="1"/>
    <col min="4" max="15" width="10.7109375" bestFit="1" customWidth="1"/>
    <col min="16" max="16" width="2.7109375" customWidth="1"/>
  </cols>
  <sheetData>
    <row r="3" spans="2:16" x14ac:dyDescent="0.25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2:16" ht="18.75" x14ac:dyDescent="0.25">
      <c r="B4" s="3"/>
      <c r="D4" s="4" t="s">
        <v>0</v>
      </c>
      <c r="E4" s="4" t="s">
        <v>1</v>
      </c>
      <c r="F4" s="4" t="s">
        <v>2</v>
      </c>
      <c r="G4" s="4" t="s">
        <v>3</v>
      </c>
      <c r="H4" s="20" t="s">
        <v>4</v>
      </c>
      <c r="I4" s="15" t="s">
        <v>5</v>
      </c>
      <c r="J4" s="4" t="s">
        <v>6</v>
      </c>
      <c r="K4" s="4" t="s">
        <v>7</v>
      </c>
      <c r="L4" s="4" t="s">
        <v>8</v>
      </c>
      <c r="M4" s="4" t="s">
        <v>9</v>
      </c>
      <c r="N4" s="4" t="s">
        <v>10</v>
      </c>
      <c r="O4" s="4" t="s">
        <v>11</v>
      </c>
      <c r="P4" s="3"/>
    </row>
    <row r="5" spans="2:16" ht="15.75" x14ac:dyDescent="0.25">
      <c r="B5" s="3"/>
      <c r="C5" s="1" t="s">
        <v>16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3"/>
    </row>
    <row r="6" spans="2:16" x14ac:dyDescent="0.25">
      <c r="B6" s="3"/>
      <c r="C6" s="11" t="s">
        <v>12</v>
      </c>
      <c r="D6" s="5">
        <v>800</v>
      </c>
      <c r="E6" s="5">
        <v>800</v>
      </c>
      <c r="F6" s="5">
        <v>800</v>
      </c>
      <c r="G6" s="5">
        <v>1700</v>
      </c>
      <c r="H6" s="21">
        <v>1700</v>
      </c>
      <c r="I6" s="16">
        <v>1700</v>
      </c>
      <c r="J6" s="5">
        <v>1700</v>
      </c>
      <c r="K6" s="5">
        <v>1700</v>
      </c>
      <c r="L6" s="5">
        <v>1700</v>
      </c>
      <c r="M6" s="5">
        <v>1700</v>
      </c>
      <c r="N6" s="5">
        <v>1700</v>
      </c>
      <c r="O6" s="5">
        <v>1700</v>
      </c>
      <c r="P6" s="3"/>
    </row>
    <row r="7" spans="2:16" x14ac:dyDescent="0.25">
      <c r="B7" s="3"/>
      <c r="C7" s="12" t="s">
        <v>22</v>
      </c>
      <c r="D7" s="7">
        <v>1000</v>
      </c>
      <c r="E7" s="7">
        <v>1000</v>
      </c>
      <c r="F7" s="7">
        <v>1000</v>
      </c>
      <c r="G7" s="7">
        <v>450</v>
      </c>
      <c r="H7" s="22">
        <v>450</v>
      </c>
      <c r="I7" s="17">
        <v>450</v>
      </c>
      <c r="J7" s="7">
        <v>450</v>
      </c>
      <c r="K7" s="7">
        <v>450</v>
      </c>
      <c r="L7" s="7">
        <v>450</v>
      </c>
      <c r="M7" s="7">
        <v>450</v>
      </c>
      <c r="N7" s="7">
        <v>450</v>
      </c>
      <c r="O7" s="7">
        <v>450</v>
      </c>
      <c r="P7" s="3"/>
    </row>
    <row r="8" spans="2:16" x14ac:dyDescent="0.25">
      <c r="B8" s="3"/>
      <c r="C8" s="11" t="s">
        <v>13</v>
      </c>
      <c r="D8" s="5">
        <v>0</v>
      </c>
      <c r="E8" s="5">
        <v>0</v>
      </c>
      <c r="F8" s="5">
        <v>0</v>
      </c>
      <c r="G8" s="5">
        <v>0</v>
      </c>
      <c r="H8" s="21">
        <v>0</v>
      </c>
      <c r="I8" s="16">
        <v>0</v>
      </c>
      <c r="J8" s="5">
        <v>0</v>
      </c>
      <c r="K8" s="5">
        <v>0</v>
      </c>
      <c r="L8" s="5">
        <v>0</v>
      </c>
      <c r="M8" s="5">
        <v>200</v>
      </c>
      <c r="N8" s="5">
        <v>200</v>
      </c>
      <c r="O8" s="5">
        <v>200</v>
      </c>
      <c r="P8" s="3"/>
    </row>
    <row r="9" spans="2:16" x14ac:dyDescent="0.25">
      <c r="B9" s="3"/>
      <c r="C9" s="12" t="s">
        <v>14</v>
      </c>
      <c r="D9" s="7">
        <v>0</v>
      </c>
      <c r="E9" s="7">
        <v>0</v>
      </c>
      <c r="F9" s="7">
        <v>0</v>
      </c>
      <c r="G9" s="7">
        <v>0</v>
      </c>
      <c r="H9" s="22">
        <v>0</v>
      </c>
      <c r="I9" s="1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3"/>
    </row>
    <row r="10" spans="2:16" x14ac:dyDescent="0.25">
      <c r="B10" s="3"/>
      <c r="P10" s="3"/>
    </row>
    <row r="11" spans="2:16" ht="15.75" x14ac:dyDescent="0.25">
      <c r="B11" s="3"/>
      <c r="C11" s="1" t="s">
        <v>15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3"/>
    </row>
    <row r="12" spans="2:16" x14ac:dyDescent="0.25">
      <c r="B12" s="3"/>
      <c r="C12" s="11" t="s">
        <v>17</v>
      </c>
      <c r="D12" s="6">
        <v>0</v>
      </c>
      <c r="E12" s="6">
        <v>0</v>
      </c>
      <c r="F12" s="6">
        <v>0</v>
      </c>
      <c r="G12" s="6">
        <v>100</v>
      </c>
      <c r="H12" s="23">
        <v>100</v>
      </c>
      <c r="I12" s="18">
        <v>100</v>
      </c>
      <c r="J12" s="6">
        <v>100</v>
      </c>
      <c r="K12" s="6">
        <v>100</v>
      </c>
      <c r="L12" s="6">
        <v>100</v>
      </c>
      <c r="M12" s="6">
        <v>100</v>
      </c>
      <c r="N12" s="6">
        <v>100</v>
      </c>
      <c r="O12" s="6">
        <v>100</v>
      </c>
      <c r="P12" s="3"/>
    </row>
    <row r="13" spans="2:16" x14ac:dyDescent="0.25">
      <c r="B13" s="3"/>
      <c r="C13" s="12" t="s">
        <v>25</v>
      </c>
      <c r="D13" s="8">
        <v>100</v>
      </c>
      <c r="E13" s="8">
        <v>100</v>
      </c>
      <c r="F13" s="8">
        <v>100</v>
      </c>
      <c r="G13" s="8">
        <v>150</v>
      </c>
      <c r="H13" s="24">
        <v>150</v>
      </c>
      <c r="I13" s="19">
        <v>150</v>
      </c>
      <c r="J13" s="8">
        <v>150</v>
      </c>
      <c r="K13" s="8">
        <v>150</v>
      </c>
      <c r="L13" s="8">
        <v>150</v>
      </c>
      <c r="M13" s="8">
        <v>150</v>
      </c>
      <c r="N13" s="8">
        <v>150</v>
      </c>
      <c r="O13" s="8">
        <v>150</v>
      </c>
      <c r="P13" s="3"/>
    </row>
    <row r="14" spans="2:16" x14ac:dyDescent="0.25">
      <c r="B14" s="3"/>
      <c r="C14" s="11" t="s">
        <v>26</v>
      </c>
      <c r="D14" s="6">
        <v>50</v>
      </c>
      <c r="E14" s="6">
        <v>50</v>
      </c>
      <c r="F14" s="6">
        <v>50</v>
      </c>
      <c r="G14" s="6">
        <v>50</v>
      </c>
      <c r="H14" s="23">
        <v>50</v>
      </c>
      <c r="I14" s="18">
        <v>50</v>
      </c>
      <c r="J14" s="6">
        <v>50</v>
      </c>
      <c r="K14" s="6">
        <v>50</v>
      </c>
      <c r="L14" s="6">
        <v>50</v>
      </c>
      <c r="M14" s="6">
        <v>50</v>
      </c>
      <c r="N14" s="6">
        <v>50</v>
      </c>
      <c r="O14" s="6">
        <v>50</v>
      </c>
      <c r="P14" s="3"/>
    </row>
    <row r="15" spans="2:16" x14ac:dyDescent="0.25">
      <c r="B15" s="3"/>
      <c r="C15" s="12" t="s">
        <v>18</v>
      </c>
      <c r="D15" s="8">
        <v>20</v>
      </c>
      <c r="E15" s="8">
        <v>20</v>
      </c>
      <c r="F15" s="8">
        <v>20</v>
      </c>
      <c r="G15" s="8">
        <v>20</v>
      </c>
      <c r="H15" s="24">
        <v>20</v>
      </c>
      <c r="I15" s="19">
        <v>20</v>
      </c>
      <c r="J15" s="8">
        <v>20</v>
      </c>
      <c r="K15" s="8">
        <v>20</v>
      </c>
      <c r="L15" s="8">
        <v>150</v>
      </c>
      <c r="M15" s="8">
        <v>150</v>
      </c>
      <c r="N15" s="8">
        <v>150</v>
      </c>
      <c r="O15" s="8">
        <v>150</v>
      </c>
      <c r="P15" s="3"/>
    </row>
    <row r="16" spans="2:16" x14ac:dyDescent="0.25">
      <c r="B16" s="3"/>
      <c r="C16" s="11" t="s">
        <v>20</v>
      </c>
      <c r="D16" s="6">
        <v>0</v>
      </c>
      <c r="E16" s="6">
        <v>0</v>
      </c>
      <c r="F16" s="6">
        <v>0</v>
      </c>
      <c r="G16" s="6">
        <v>0</v>
      </c>
      <c r="H16" s="23">
        <v>0</v>
      </c>
      <c r="I16" s="18">
        <v>0</v>
      </c>
      <c r="J16" s="6">
        <v>23.9</v>
      </c>
      <c r="K16" s="6">
        <v>23.9</v>
      </c>
      <c r="L16" s="6">
        <v>23.9</v>
      </c>
      <c r="M16" s="6">
        <v>23.9</v>
      </c>
      <c r="N16" s="6">
        <v>23.9</v>
      </c>
      <c r="O16" s="6">
        <v>23.9</v>
      </c>
      <c r="P16" s="3"/>
    </row>
    <row r="17" spans="2:16" x14ac:dyDescent="0.25">
      <c r="B17" s="3"/>
      <c r="C17" s="12" t="s">
        <v>19</v>
      </c>
      <c r="D17" s="8">
        <v>480</v>
      </c>
      <c r="E17" s="8">
        <v>480</v>
      </c>
      <c r="F17" s="8">
        <v>480</v>
      </c>
      <c r="G17" s="8">
        <v>480</v>
      </c>
      <c r="H17" s="24">
        <v>1000</v>
      </c>
      <c r="I17" s="19">
        <v>1000</v>
      </c>
      <c r="J17" s="8">
        <v>1000</v>
      </c>
      <c r="K17" s="8">
        <v>1000</v>
      </c>
      <c r="L17" s="8">
        <v>1000</v>
      </c>
      <c r="M17" s="8">
        <v>1000</v>
      </c>
      <c r="N17" s="8">
        <v>1000</v>
      </c>
      <c r="O17" s="8">
        <v>1000</v>
      </c>
      <c r="P17" s="3"/>
    </row>
    <row r="18" spans="2:16" x14ac:dyDescent="0.25">
      <c r="B18" s="3"/>
      <c r="C18" s="11" t="s">
        <v>27</v>
      </c>
      <c r="D18" s="6">
        <v>65</v>
      </c>
      <c r="E18" s="6">
        <v>65</v>
      </c>
      <c r="F18" s="6">
        <v>65</v>
      </c>
      <c r="G18" s="6">
        <v>65</v>
      </c>
      <c r="H18" s="23">
        <v>65</v>
      </c>
      <c r="I18" s="18">
        <v>65</v>
      </c>
      <c r="J18" s="6">
        <v>65</v>
      </c>
      <c r="K18" s="6">
        <v>65</v>
      </c>
      <c r="L18" s="6">
        <v>65</v>
      </c>
      <c r="M18" s="6">
        <v>65</v>
      </c>
      <c r="N18" s="6">
        <v>65</v>
      </c>
      <c r="O18" s="6">
        <v>65</v>
      </c>
      <c r="P18" s="3"/>
    </row>
    <row r="19" spans="2:16" x14ac:dyDescent="0.25">
      <c r="B19" s="3"/>
      <c r="C19" s="12" t="s">
        <v>21</v>
      </c>
      <c r="D19" s="8">
        <v>1000</v>
      </c>
      <c r="E19" s="8">
        <v>1000</v>
      </c>
      <c r="F19" s="8">
        <v>1000</v>
      </c>
      <c r="G19" s="8">
        <v>450</v>
      </c>
      <c r="H19" s="24">
        <v>450</v>
      </c>
      <c r="I19" s="19">
        <v>450</v>
      </c>
      <c r="J19" s="8">
        <v>450</v>
      </c>
      <c r="K19" s="8">
        <v>450</v>
      </c>
      <c r="L19" s="8">
        <v>450</v>
      </c>
      <c r="M19" s="8">
        <v>450</v>
      </c>
      <c r="N19" s="8">
        <v>450</v>
      </c>
      <c r="O19" s="8">
        <v>450</v>
      </c>
      <c r="P19" s="3"/>
    </row>
    <row r="20" spans="2:16" x14ac:dyDescent="0.25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2:16" ht="15.75" x14ac:dyDescent="0.25">
      <c r="B21" s="3"/>
      <c r="C21" s="13" t="s">
        <v>23</v>
      </c>
      <c r="D21" s="25">
        <f>SUM(D6:D9)</f>
        <v>1800</v>
      </c>
      <c r="E21" s="25">
        <f>SUM(E6:E9)</f>
        <v>1800</v>
      </c>
      <c r="F21" s="25">
        <f>SUM(F6:F9)</f>
        <v>1800</v>
      </c>
      <c r="G21" s="25">
        <f t="shared" ref="G21:O21" si="0">SUM(G6:G9)</f>
        <v>2150</v>
      </c>
      <c r="H21" s="25">
        <f t="shared" si="0"/>
        <v>2150</v>
      </c>
      <c r="I21" s="25">
        <f t="shared" si="0"/>
        <v>2150</v>
      </c>
      <c r="J21" s="25">
        <f>SUM(J6:J9)</f>
        <v>2150</v>
      </c>
      <c r="K21" s="25">
        <f t="shared" si="0"/>
        <v>2150</v>
      </c>
      <c r="L21" s="25">
        <f t="shared" si="0"/>
        <v>2150</v>
      </c>
      <c r="M21" s="25">
        <f t="shared" si="0"/>
        <v>2350</v>
      </c>
      <c r="N21" s="25">
        <f t="shared" si="0"/>
        <v>2350</v>
      </c>
      <c r="O21" s="25">
        <f t="shared" si="0"/>
        <v>2350</v>
      </c>
      <c r="P21" s="3"/>
    </row>
    <row r="22" spans="2:16" ht="15.75" x14ac:dyDescent="0.25">
      <c r="B22" s="3"/>
      <c r="C22" s="14" t="s">
        <v>24</v>
      </c>
      <c r="D22" s="26">
        <f>SUM(D12:D19)</f>
        <v>1715</v>
      </c>
      <c r="E22" s="26">
        <f t="shared" ref="E22:N22" si="1">SUM(E12:E19)</f>
        <v>1715</v>
      </c>
      <c r="F22" s="26">
        <f t="shared" si="1"/>
        <v>1715</v>
      </c>
      <c r="G22" s="26">
        <f t="shared" si="1"/>
        <v>1315</v>
      </c>
      <c r="H22" s="26">
        <f t="shared" si="1"/>
        <v>1835</v>
      </c>
      <c r="I22" s="26">
        <f t="shared" si="1"/>
        <v>1835</v>
      </c>
      <c r="J22" s="26">
        <f t="shared" si="1"/>
        <v>1858.9</v>
      </c>
      <c r="K22" s="26">
        <f t="shared" si="1"/>
        <v>1858.9</v>
      </c>
      <c r="L22" s="26">
        <f t="shared" si="1"/>
        <v>1988.9</v>
      </c>
      <c r="M22" s="26">
        <f t="shared" si="1"/>
        <v>1988.9</v>
      </c>
      <c r="N22" s="26">
        <f t="shared" si="1"/>
        <v>1988.9</v>
      </c>
      <c r="O22" s="26">
        <f>SUM(O12:O19)</f>
        <v>1988.9</v>
      </c>
      <c r="P22" s="3"/>
    </row>
    <row r="23" spans="2:16" ht="15.75" x14ac:dyDescent="0.25">
      <c r="B23" s="3"/>
      <c r="C23" s="13" t="s">
        <v>28</v>
      </c>
      <c r="D23" s="6">
        <f>D21-D22</f>
        <v>85</v>
      </c>
      <c r="E23" s="6">
        <f t="shared" ref="E23:M23" si="2">E21-E22</f>
        <v>85</v>
      </c>
      <c r="F23" s="6">
        <f t="shared" si="2"/>
        <v>85</v>
      </c>
      <c r="G23" s="6">
        <f t="shared" si="2"/>
        <v>835</v>
      </c>
      <c r="H23" s="6">
        <f t="shared" si="2"/>
        <v>315</v>
      </c>
      <c r="I23" s="6">
        <f t="shared" si="2"/>
        <v>315</v>
      </c>
      <c r="J23" s="6">
        <f t="shared" si="2"/>
        <v>291.09999999999991</v>
      </c>
      <c r="K23" s="6">
        <f t="shared" si="2"/>
        <v>291.09999999999991</v>
      </c>
      <c r="L23" s="6">
        <f t="shared" si="2"/>
        <v>161.09999999999991</v>
      </c>
      <c r="M23" s="6">
        <f t="shared" si="2"/>
        <v>361.09999999999991</v>
      </c>
      <c r="N23" s="6">
        <f>N21-N22</f>
        <v>361.09999999999991</v>
      </c>
      <c r="O23" s="6">
        <f>O21-O22</f>
        <v>361.09999999999991</v>
      </c>
      <c r="P23" s="3"/>
    </row>
    <row r="24" spans="2:16" ht="15.75" x14ac:dyDescent="0.25">
      <c r="B24" s="3"/>
      <c r="C24" s="14" t="s">
        <v>29</v>
      </c>
      <c r="D24" s="27" t="str">
        <f>IF(D23&lt;100,"ATENÇÃO!!","OK")</f>
        <v>ATENÇÃO!!</v>
      </c>
      <c r="E24" s="27" t="str">
        <f>IF(E23&lt;100,"ATENÇÃO!!","OK")</f>
        <v>ATENÇÃO!!</v>
      </c>
      <c r="F24" s="27" t="str">
        <f t="shared" ref="F24:O24" si="3">IF(F23&lt;100,"ATENÇÃO!!","OK")</f>
        <v>ATENÇÃO!!</v>
      </c>
      <c r="G24" s="27" t="str">
        <f t="shared" si="3"/>
        <v>OK</v>
      </c>
      <c r="H24" s="27" t="str">
        <f t="shared" si="3"/>
        <v>OK</v>
      </c>
      <c r="I24" s="27" t="str">
        <f t="shared" si="3"/>
        <v>OK</v>
      </c>
      <c r="J24" s="27" t="str">
        <f t="shared" si="3"/>
        <v>OK</v>
      </c>
      <c r="K24" s="27" t="str">
        <f t="shared" si="3"/>
        <v>OK</v>
      </c>
      <c r="L24" s="27" t="str">
        <f t="shared" si="3"/>
        <v>OK</v>
      </c>
      <c r="M24" s="27" t="str">
        <f t="shared" si="3"/>
        <v>OK</v>
      </c>
      <c r="N24" s="27" t="str">
        <f t="shared" si="3"/>
        <v>OK</v>
      </c>
      <c r="O24" s="27" t="str">
        <f t="shared" si="3"/>
        <v>OK</v>
      </c>
      <c r="P24" s="3"/>
    </row>
    <row r="25" spans="2:16" ht="15.75" x14ac:dyDescent="0.25">
      <c r="B25" s="3"/>
      <c r="C25" s="13" t="s">
        <v>30</v>
      </c>
      <c r="D25" s="27" t="str">
        <f>IF(D21&gt;D22,"SIM","NÃO")</f>
        <v>SIM</v>
      </c>
      <c r="E25" s="27" t="str">
        <f t="shared" ref="E25:O25" si="4">IF(E21&gt;E22,"SIM","NÃO")</f>
        <v>SIM</v>
      </c>
      <c r="F25" s="27" t="str">
        <f t="shared" si="4"/>
        <v>SIM</v>
      </c>
      <c r="G25" s="27" t="str">
        <f t="shared" si="4"/>
        <v>SIM</v>
      </c>
      <c r="H25" s="27" t="str">
        <f t="shared" si="4"/>
        <v>SIM</v>
      </c>
      <c r="I25" s="27" t="str">
        <f t="shared" si="4"/>
        <v>SIM</v>
      </c>
      <c r="J25" s="27" t="str">
        <f t="shared" si="4"/>
        <v>SIM</v>
      </c>
      <c r="K25" s="27" t="str">
        <f t="shared" si="4"/>
        <v>SIM</v>
      </c>
      <c r="L25" s="27" t="str">
        <f t="shared" si="4"/>
        <v>SIM</v>
      </c>
      <c r="M25" s="27" t="str">
        <f t="shared" si="4"/>
        <v>SIM</v>
      </c>
      <c r="N25" s="27" t="str">
        <f t="shared" si="4"/>
        <v>SIM</v>
      </c>
      <c r="O25" s="27" t="str">
        <f>IF(O21&gt;O22,"SIM","NÃO")</f>
        <v>SIM</v>
      </c>
      <c r="P25" s="3"/>
    </row>
    <row r="26" spans="2:16" x14ac:dyDescent="0.25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34" spans="10:10" x14ac:dyDescent="0.25">
      <c r="J34" s="9"/>
    </row>
    <row r="35" spans="10:10" x14ac:dyDescent="0.25">
      <c r="J35" s="10"/>
    </row>
  </sheetData>
  <sheetProtection selectLockedCells="1" selectUnlockedCells="1"/>
  <phoneticPr fontId="2" type="noConversion"/>
  <conditionalFormatting sqref="D23:O23">
    <cfRule type="cellIs" dxfId="7" priority="7" operator="equal">
      <formula>0</formula>
    </cfRule>
    <cfRule type="cellIs" dxfId="6" priority="8" operator="lessThan">
      <formula>0</formula>
    </cfRule>
    <cfRule type="cellIs" dxfId="5" priority="9" operator="greaterThan">
      <formula>0</formula>
    </cfRule>
  </conditionalFormatting>
  <conditionalFormatting sqref="D24:O25">
    <cfRule type="containsText" dxfId="4" priority="3" operator="containsText" text="OK">
      <formula>NOT(ISERROR(SEARCH("OK",D24)))</formula>
    </cfRule>
    <cfRule type="containsText" dxfId="3" priority="4" operator="containsText" text="ATENÇÃO">
      <formula>NOT(ISERROR(SEARCH("ATENÇÃO",D24)))</formula>
    </cfRule>
    <cfRule type="containsText" dxfId="2" priority="5" operator="containsText" text="OK">
      <formula>NOT(ISERROR(SEARCH("OK",D24)))</formula>
    </cfRule>
  </conditionalFormatting>
  <conditionalFormatting sqref="D25:O25">
    <cfRule type="containsText" dxfId="0" priority="2" operator="containsText" text="SIM">
      <formula>NOT(ISERROR(SEARCH("SIM",D25)))</formula>
    </cfRule>
    <cfRule type="containsText" dxfId="1" priority="1" operator="containsText" text="NÃO">
      <formula>NOT(ISERROR(SEARCH("NÃO",D25)))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SANTOS CINTRA</dc:creator>
  <cp:lastModifiedBy>PEDRO SANTOS CINTRA</cp:lastModifiedBy>
  <cp:lastPrinted>2025-10-29T17:01:21Z</cp:lastPrinted>
  <dcterms:created xsi:type="dcterms:W3CDTF">2025-10-27T19:03:01Z</dcterms:created>
  <dcterms:modified xsi:type="dcterms:W3CDTF">2025-10-29T19:34:31Z</dcterms:modified>
</cp:coreProperties>
</file>